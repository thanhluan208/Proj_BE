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<sst xmlns="http://schemas.openxmlformats.org/spreadsheetml/2006/main" count="37" uniqueCount="27">
  <si>
    <r>
      <rPr>
        <rFont val="Times New Roman"/>
        <b/>
        <color theme="1"/>
        <sz val="14.0"/>
      </rPr>
      <t xml:space="preserve">MAI HOUSE
</t>
    </r>
    <r>
      <rPr>
        <rFont val="Times New Roman"/>
        <b val="0"/>
        <color theme="1"/>
        <sz val="14.0"/>
      </rPr>
      <t>Số 16, ngõ 66 Đường Giáp Bát, P. Giáp Bát, Q. Hoàng Mai, HN
ĐT: 0932 233 681 - 0983 044 006</t>
    </r>
  </si>
  <si>
    <r>
      <rPr>
        <rFont val="Times New Roman"/>
        <b/>
        <color theme="1"/>
        <sz val="14.0"/>
      </rPr>
      <t xml:space="preserve">Tài khoản thanh toán: </t>
    </r>
    <r>
      <rPr>
        <rFont val="Times New Roman"/>
        <b val="0"/>
        <color theme="1"/>
        <sz val="14.0"/>
      </rPr>
      <t xml:space="preserve">
Ngân hàng TMCP Quốc tế - VIB
Trần Thị Mai Liên
STK: 436889999</t>
    </r>
  </si>
  <si>
    <t xml:space="preserve">THÔNG BÁO TIỀN NHÀ VÀ PHÍ </t>
  </si>
  <si>
    <t>Ngày:</t>
  </si>
  <si>
    <t>từ 01/9/2024 đến 01/10/2024</t>
  </si>
  <si>
    <t xml:space="preserve">Phòng: </t>
  </si>
  <si>
    <t>Khách hàng:</t>
  </si>
  <si>
    <t>Phạm Hoàng Quỳnh Mai</t>
  </si>
  <si>
    <t>STT</t>
  </si>
  <si>
    <t>Nội dung</t>
  </si>
  <si>
    <t>ĐVT</t>
  </si>
  <si>
    <t>Số lượng</t>
  </si>
  <si>
    <t>Giá</t>
  </si>
  <si>
    <t>Thành tiền</t>
  </si>
  <si>
    <t xml:space="preserve">Thuê phòng </t>
  </si>
  <si>
    <t>Tháng</t>
  </si>
  <si>
    <t xml:space="preserve">Internet </t>
  </si>
  <si>
    <t xml:space="preserve">Phí dịch vụ </t>
  </si>
  <si>
    <t>Tổng cộng</t>
  </si>
  <si>
    <t>Thông báo điện tháng 8/2024</t>
  </si>
  <si>
    <t>chỉ số
ĐH</t>
  </si>
  <si>
    <t>Điện</t>
  </si>
  <si>
    <t>Số kỳ trước</t>
  </si>
  <si>
    <t>Số kỳ này</t>
  </si>
  <si>
    <t>Nước</t>
  </si>
  <si>
    <t>Tổng số tiền</t>
  </si>
  <si>
    <t>Bằng chữ: Bẩy triệu hai trăm tám tám ngàn, chín trăm đồng.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</si>
</sst>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10">
    <font>
      <sz val="10.0"/>
      <color rgb="FF000000"/>
      <name val="Arial"/>
      <scheme val="minor"/>
    </font>
    <font>
      <b/>
      <sz val="14.0"/>
      <color theme="1"/>
      <name val="Times New Roman"/>
    </font>
    <font/>
    <font>
      <sz val="11.0"/>
      <color theme="1"/>
      <name val="Aptos Narrow"/>
    </font>
    <font>
      <sz val="14.0"/>
      <color theme="1"/>
      <name val="Times New Roman"/>
    </font>
    <font>
      <b/>
      <sz val="14.0"/>
      <color rgb="FFFFFFFF"/>
      <name val="Times New Roman"/>
    </font>
    <font>
      <b/>
      <i/>
      <sz val="14.0"/>
      <color theme="1"/>
      <name val="Times New Roman"/>
    </font>
    <font>
      <b/>
      <i/>
      <sz val="16.0"/>
      <color theme="1"/>
      <name val="Times New Roman"/>
    </font>
    <font>
      <b/>
      <sz val="16.0"/>
      <color theme="1"/>
      <name val="Times New Roman"/>
    </font>
    <font>
      <b/>
      <i/>
      <u/>
      <sz val="16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C1E4F5"/>
        <bgColor rgb="FFC1E4F5"/>
      </patternFill>
    </fill>
  </fills>
  <borders count="26">
    <border/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FFFFF"/>
      </bottom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/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bottom style="medium">
        <color rgb="FF000000"/>
      </bottom>
    </border>
    <border>
      <left style="medium">
        <color rgb="FFCCCCCC"/>
      </left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3" numFmtId="0" xfId="0" applyBorder="1" applyFont="1"/>
    <xf borderId="1" fillId="0" fontId="1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shrinkToFit="0" wrapText="1"/>
    </xf>
    <xf borderId="4" fillId="0" fontId="3" numFmtId="0" xfId="0" applyAlignment="1" applyBorder="1" applyFont="1">
      <alignment vertical="bottom"/>
    </xf>
    <xf borderId="5" fillId="0" fontId="4" numFmtId="0" xfId="0" applyBorder="1" applyFont="1"/>
    <xf borderId="4" fillId="0" fontId="1" numFmtId="0" xfId="0" applyAlignment="1" applyBorder="1" applyFont="1">
      <alignment shrinkToFit="0" wrapText="1"/>
    </xf>
    <xf borderId="1" fillId="0" fontId="3" numFmtId="0" xfId="0" applyBorder="1" applyFont="1"/>
    <xf borderId="6" fillId="0" fontId="3" numFmtId="0" xfId="0" applyBorder="1" applyFont="1"/>
    <xf borderId="7" fillId="2" fontId="5" numFmtId="0" xfId="0" applyAlignment="1" applyBorder="1" applyFill="1" applyFont="1">
      <alignment horizontal="center" shrinkToFit="0" wrapText="1"/>
    </xf>
    <xf borderId="8" fillId="2" fontId="5" numFmtId="0" xfId="0" applyAlignment="1" applyBorder="1" applyFont="1">
      <alignment horizontal="center" shrinkToFit="0" wrapText="1"/>
    </xf>
    <xf borderId="9" fillId="0" fontId="2" numFmtId="0" xfId="0" applyBorder="1" applyFont="1"/>
    <xf borderId="7" fillId="0" fontId="4" numFmtId="0" xfId="0" applyAlignment="1" applyBorder="1" applyFont="1">
      <alignment horizontal="center" shrinkToFit="0" wrapText="1"/>
    </xf>
    <xf borderId="8" fillId="0" fontId="4" numFmtId="0" xfId="0" applyAlignment="1" applyBorder="1" applyFont="1">
      <alignment shrinkToFit="0" wrapText="1"/>
    </xf>
    <xf borderId="7" fillId="0" fontId="3" numFmtId="0" xfId="0" applyBorder="1" applyFont="1"/>
    <xf borderId="7" fillId="0" fontId="4" numFmtId="164" xfId="0" applyAlignment="1" applyBorder="1" applyFont="1" applyNumberFormat="1">
      <alignment horizontal="right" shrinkToFit="0" wrapText="1"/>
    </xf>
    <xf borderId="7" fillId="0" fontId="4" numFmtId="3" xfId="0" applyAlignment="1" applyBorder="1" applyFont="1" applyNumberFormat="1">
      <alignment horizontal="right" shrinkToFit="0" wrapText="1"/>
    </xf>
    <xf borderId="8" fillId="0" fontId="3" numFmtId="0" xfId="0" applyBorder="1" applyFont="1"/>
    <xf borderId="7" fillId="0" fontId="3" numFmtId="3" xfId="0" applyBorder="1" applyFont="1" applyNumberFormat="1"/>
    <xf borderId="8" fillId="3" fontId="1" numFmtId="0" xfId="0" applyAlignment="1" applyBorder="1" applyFill="1" applyFont="1">
      <alignment horizontal="center" shrinkToFit="0" wrapText="1"/>
    </xf>
    <xf borderId="10" fillId="0" fontId="2" numFmtId="0" xfId="0" applyBorder="1" applyFont="1"/>
    <xf borderId="7" fillId="3" fontId="1" numFmtId="3" xfId="0" applyAlignment="1" applyBorder="1" applyFont="1" applyNumberFormat="1">
      <alignment horizontal="right" shrinkToFit="0" wrapText="1"/>
    </xf>
    <xf borderId="0" fillId="0" fontId="6" numFmtId="0" xfId="0" applyAlignment="1" applyFont="1">
      <alignment vertical="bottom"/>
    </xf>
    <xf borderId="11" fillId="2" fontId="5" numFmtId="0" xfId="0" applyAlignment="1" applyBorder="1" applyFont="1">
      <alignment horizontal="center" shrinkToFit="0" wrapText="1"/>
    </xf>
    <xf borderId="12" fillId="0" fontId="4" numFmtId="0" xfId="0" applyAlignment="1" applyBorder="1" applyFont="1">
      <alignment horizontal="center" shrinkToFit="0" wrapText="1"/>
    </xf>
    <xf borderId="13" fillId="0" fontId="3" numFmtId="0" xfId="0" applyBorder="1" applyFont="1"/>
    <xf borderId="14" fillId="0" fontId="3" numFmtId="0" xfId="0" applyBorder="1" applyFont="1"/>
    <xf borderId="9" fillId="0" fontId="3" numFmtId="0" xfId="0" applyBorder="1" applyFont="1"/>
    <xf borderId="15" fillId="0" fontId="4" numFmtId="0" xfId="0" applyAlignment="1" applyBorder="1" applyFont="1">
      <alignment horizontal="center" shrinkToFit="0" wrapText="1"/>
    </xf>
    <xf borderId="15" fillId="0" fontId="4" numFmtId="3" xfId="0" applyAlignment="1" applyBorder="1" applyFont="1" applyNumberFormat="1">
      <alignment horizontal="right" shrinkToFit="0" wrapText="1"/>
    </xf>
    <xf borderId="16" fillId="0" fontId="4" numFmtId="0" xfId="0" applyAlignment="1" applyBorder="1" applyFont="1">
      <alignment horizontal="right" shrinkToFit="0" wrapText="1"/>
    </xf>
    <xf borderId="13" fillId="0" fontId="3" numFmtId="0" xfId="0" applyAlignment="1" applyBorder="1" applyFont="1">
      <alignment vertical="bottom"/>
    </xf>
    <xf borderId="13" fillId="0" fontId="3" numFmtId="3" xfId="0" applyBorder="1" applyFont="1" applyNumberFormat="1"/>
    <xf borderId="17" fillId="0" fontId="4" numFmtId="3" xfId="0" applyAlignment="1" applyBorder="1" applyFont="1" applyNumberFormat="1">
      <alignment horizontal="right" shrinkToFit="0" wrapText="1"/>
    </xf>
    <xf borderId="18" fillId="3" fontId="1" numFmtId="3" xfId="0" applyAlignment="1" applyBorder="1" applyFont="1" applyNumberFormat="1">
      <alignment horizontal="right" shrinkToFit="0" wrapText="1"/>
    </xf>
    <xf borderId="19" fillId="4" fontId="3" numFmtId="0" xfId="0" applyAlignment="1" applyBorder="1" applyFill="1" applyFont="1">
      <alignment vertical="bottom"/>
    </xf>
    <xf borderId="20" fillId="4" fontId="7" numFmtId="0" xfId="0" applyAlignment="1" applyBorder="1" applyFont="1">
      <alignment horizontal="center" vertical="bottom"/>
    </xf>
    <xf borderId="21" fillId="0" fontId="2" numFmtId="0" xfId="0" applyBorder="1" applyFont="1"/>
    <xf borderId="22" fillId="0" fontId="2" numFmtId="0" xfId="0" applyBorder="1" applyFont="1"/>
    <xf borderId="19" fillId="4" fontId="8" numFmtId="3" xfId="0" applyAlignment="1" applyBorder="1" applyFont="1" applyNumberFormat="1">
      <alignment horizontal="right" vertical="bottom"/>
    </xf>
    <xf borderId="23" fillId="4" fontId="9" numFmtId="0" xfId="0" applyAlignment="1" applyBorder="1" applyFont="1">
      <alignment horizontal="center" vertical="bottom"/>
    </xf>
    <xf borderId="24" fillId="0" fontId="2" numFmtId="0" xfId="0" applyBorder="1" applyFont="1"/>
    <xf borderId="25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</cols>
  <sheetData>
    <row r="1">
      <c r="A1" s="1" t="s">
        <v>0</v>
      </c>
      <c r="B1" s="2"/>
      <c r="C1" s="2"/>
      <c r="D1" s="3"/>
      <c r="E1" s="1" t="s">
        <v>1</v>
      </c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5"/>
      <c r="C2" s="5"/>
      <c r="D2" s="5"/>
      <c r="E2" s="5"/>
      <c r="F2" s="5"/>
      <c r="G2" s="5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2</v>
      </c>
      <c r="C3" s="2"/>
      <c r="D3" s="2"/>
      <c r="E3" s="3"/>
      <c r="F3" s="5"/>
      <c r="G3" s="5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3</v>
      </c>
      <c r="B4" s="7" t="s">
        <v>4</v>
      </c>
      <c r="C4" s="8"/>
      <c r="D4" s="8"/>
      <c r="E4" s="8"/>
      <c r="F4" s="5"/>
      <c r="G4" s="5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">
        <v>5</v>
      </c>
      <c r="B5" s="10">
        <v>203.0</v>
      </c>
      <c r="C5" s="11"/>
      <c r="D5" s="2"/>
      <c r="E5" s="3"/>
      <c r="F5" s="5"/>
      <c r="G5" s="5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 t="s">
        <v>6</v>
      </c>
      <c r="B6" s="10" t="s">
        <v>7</v>
      </c>
      <c r="C6" s="5"/>
      <c r="D6" s="5"/>
      <c r="E6" s="5"/>
      <c r="F6" s="5"/>
      <c r="G6" s="5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2"/>
      <c r="B7" s="12"/>
      <c r="C7" s="12"/>
      <c r="D7" s="12"/>
      <c r="E7" s="12"/>
      <c r="F7" s="12"/>
      <c r="G7" s="1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 t="s">
        <v>8</v>
      </c>
      <c r="B8" s="14" t="s">
        <v>9</v>
      </c>
      <c r="C8" s="15"/>
      <c r="D8" s="13" t="s">
        <v>10</v>
      </c>
      <c r="E8" s="13" t="s">
        <v>11</v>
      </c>
      <c r="F8" s="13" t="s">
        <v>12</v>
      </c>
      <c r="G8" s="13" t="s">
        <v>13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6">
        <v>1.0</v>
      </c>
      <c r="B9" s="17" t="s">
        <v>14</v>
      </c>
      <c r="C9" s="15"/>
      <c r="D9" s="16" t="s">
        <v>15</v>
      </c>
      <c r="E9" s="16">
        <v>1.0</v>
      </c>
      <c r="F9" s="18"/>
      <c r="G9" s="19">
        <v>5800000.0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6">
        <v>2.0</v>
      </c>
      <c r="B10" s="17" t="s">
        <v>16</v>
      </c>
      <c r="C10" s="15"/>
      <c r="D10" s="16" t="s">
        <v>15</v>
      </c>
      <c r="E10" s="16">
        <v>1.0</v>
      </c>
      <c r="F10" s="20">
        <v>100000.0</v>
      </c>
      <c r="G10" s="20">
        <v>100000.0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6">
        <v>3.0</v>
      </c>
      <c r="B11" s="17" t="s">
        <v>17</v>
      </c>
      <c r="C11" s="15"/>
      <c r="D11" s="16" t="s">
        <v>15</v>
      </c>
      <c r="E11" s="16">
        <v>2.0</v>
      </c>
      <c r="F11" s="20">
        <v>100000.0</v>
      </c>
      <c r="G11" s="20">
        <f t="shared" ref="G11:G12" si="1">F11*E11</f>
        <v>200000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8"/>
      <c r="B12" s="21"/>
      <c r="C12" s="15"/>
      <c r="D12" s="18"/>
      <c r="E12" s="18"/>
      <c r="F12" s="22"/>
      <c r="G12" s="20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3" t="s">
        <v>18</v>
      </c>
      <c r="B13" s="24"/>
      <c r="C13" s="24"/>
      <c r="D13" s="24"/>
      <c r="E13" s="24"/>
      <c r="F13" s="15"/>
      <c r="G13" s="25">
        <f>SUM(G9:G12)</f>
        <v>6100000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26" t="s">
        <v>19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 t="s">
        <v>8</v>
      </c>
      <c r="B15" s="14" t="s">
        <v>9</v>
      </c>
      <c r="C15" s="15"/>
      <c r="D15" s="13" t="s">
        <v>20</v>
      </c>
      <c r="E15" s="27" t="s">
        <v>11</v>
      </c>
      <c r="F15" s="27" t="s">
        <v>12</v>
      </c>
      <c r="G15" s="27" t="s">
        <v>13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6" t="s">
        <v>21</v>
      </c>
      <c r="B16" s="17" t="s">
        <v>22</v>
      </c>
      <c r="C16" s="15"/>
      <c r="D16" s="28">
        <v>98.0</v>
      </c>
      <c r="E16" s="29"/>
      <c r="F16" s="29"/>
      <c r="G16" s="30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8"/>
      <c r="B17" s="17" t="s">
        <v>23</v>
      </c>
      <c r="C17" s="31"/>
      <c r="D17" s="28">
        <v>351.0</v>
      </c>
      <c r="E17" s="32">
        <f>D17-D16</f>
        <v>253</v>
      </c>
      <c r="F17" s="33">
        <v>3800.0</v>
      </c>
      <c r="G17" s="34">
        <f>F17*E17</f>
        <v>961400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6" t="s">
        <v>24</v>
      </c>
      <c r="B18" s="17" t="s">
        <v>22</v>
      </c>
      <c r="C18" s="15"/>
      <c r="D18" s="28">
        <v>2.0</v>
      </c>
      <c r="E18" s="35"/>
      <c r="F18" s="4"/>
      <c r="G18" s="36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8"/>
      <c r="B19" s="17" t="s">
        <v>23</v>
      </c>
      <c r="C19" s="15"/>
      <c r="D19" s="28">
        <v>8.5</v>
      </c>
      <c r="E19" s="32">
        <f>D19-D18</f>
        <v>6.5</v>
      </c>
      <c r="F19" s="37">
        <v>35000.0</v>
      </c>
      <c r="G19" s="33">
        <f>E19*F19</f>
        <v>227500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3" t="s">
        <v>18</v>
      </c>
      <c r="B20" s="24"/>
      <c r="C20" s="24"/>
      <c r="D20" s="24"/>
      <c r="E20" s="24"/>
      <c r="F20" s="15"/>
      <c r="G20" s="38">
        <f>G19+G17</f>
        <v>1188900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9"/>
      <c r="B21" s="40" t="s">
        <v>25</v>
      </c>
      <c r="C21" s="41"/>
      <c r="D21" s="41"/>
      <c r="E21" s="41"/>
      <c r="F21" s="42"/>
      <c r="G21" s="43">
        <f>G20+G13</f>
        <v>7288900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4" t="s">
        <v>26</v>
      </c>
      <c r="B22" s="45"/>
      <c r="C22" s="45"/>
      <c r="D22" s="45"/>
      <c r="E22" s="45"/>
      <c r="F22" s="45"/>
      <c r="G22" s="46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7">
    <mergeCell ref="A1:D1"/>
    <mergeCell ref="E1:G1"/>
    <mergeCell ref="B3:E3"/>
    <mergeCell ref="C5:E5"/>
    <mergeCell ref="B8:C8"/>
    <mergeCell ref="B9:C9"/>
    <mergeCell ref="B10:C10"/>
    <mergeCell ref="A20:F20"/>
    <mergeCell ref="B21:F21"/>
    <mergeCell ref="A22:G22"/>
    <mergeCell ref="B11:C11"/>
    <mergeCell ref="B12:C12"/>
    <mergeCell ref="A13:F13"/>
    <mergeCell ref="B15:C15"/>
    <mergeCell ref="B16:C16"/>
    <mergeCell ref="B18:C18"/>
    <mergeCell ref="B19:C19"/>
  </mergeCells>
  <drawing r:id="rId1"/>
</worksheet>
</file>